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MOTORES Y MOTOBOMBAS\MARLON MIRANDA\PROGRAMACION\excel\"/>
    </mc:Choice>
  </mc:AlternateContent>
  <xr:revisionPtr revIDLastSave="0" documentId="13_ncr:1_{FB53739B-E79F-4FC9-A4D7-B703CEFBD82A}" xr6:coauthVersionLast="47" xr6:coauthVersionMax="47" xr10:uidLastSave="{00000000-0000-0000-0000-000000000000}"/>
  <bookViews>
    <workbookView xWindow="-108" yWindow="-108" windowWidth="23256" windowHeight="12576" activeTab="1" xr2:uid="{8EF3E799-7A19-46CA-B51F-A6F0925E1B4C}"/>
  </bookViews>
  <sheets>
    <sheet name="BD" sheetId="6" r:id="rId1"/>
    <sheet name="PLANTILLA" sheetId="7" r:id="rId2"/>
  </sheets>
  <definedNames>
    <definedName name="_xlnm.Print_Area" localSheetId="1">PLANTILLA!$E$2:$M$33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6" l="1"/>
  <c r="P5" i="6"/>
  <c r="P6" i="6"/>
  <c r="P7" i="6"/>
  <c r="P3" i="6"/>
  <c r="F9" i="7"/>
  <c r="F8" i="7"/>
  <c r="F7" i="7"/>
  <c r="F6" i="7"/>
  <c r="F5" i="7"/>
</calcChain>
</file>

<file path=xl/sharedStrings.xml><?xml version="1.0" encoding="utf-8"?>
<sst xmlns="http://schemas.openxmlformats.org/spreadsheetml/2006/main" count="134" uniqueCount="109">
  <si>
    <t>Actividades</t>
  </si>
  <si>
    <t>Observaciones</t>
  </si>
  <si>
    <t>CEDULA:</t>
  </si>
  <si>
    <t>Nombre trabajador</t>
  </si>
  <si>
    <t>Direccion</t>
  </si>
  <si>
    <t>telefono</t>
  </si>
  <si>
    <t>Nombre cliente</t>
  </si>
  <si>
    <t>Fecha de ingreso</t>
  </si>
  <si>
    <t>Horario</t>
  </si>
  <si>
    <t>Persona a Cargo</t>
  </si>
  <si>
    <t>Fecha de salida</t>
  </si>
  <si>
    <t>Cedula trabajador</t>
  </si>
  <si>
    <t>Sueldo</t>
  </si>
  <si>
    <t>Telefono cliente</t>
  </si>
  <si>
    <t>Direccion cliente</t>
  </si>
  <si>
    <t>CHOFER</t>
  </si>
  <si>
    <t>IMPUNTUAL</t>
  </si>
  <si>
    <t>INDEFINIDO</t>
  </si>
  <si>
    <t/>
  </si>
  <si>
    <t>sachica 2 boyaca</t>
  </si>
  <si>
    <t>NOMBRES Y APELLIDOS:</t>
  </si>
  <si>
    <t>TELEFONO:</t>
  </si>
  <si>
    <t>N° DE PERSONAS:</t>
  </si>
  <si>
    <t>EXPERIENCIA LABORAL</t>
  </si>
  <si>
    <t xml:space="preserve">ACTIVIDADES: </t>
  </si>
  <si>
    <t>DIRECCION:</t>
  </si>
  <si>
    <t>FECHA DE INGRESO:</t>
  </si>
  <si>
    <t>FECHA DE SALIDA:</t>
  </si>
  <si>
    <t>OBSERVACIONES:</t>
  </si>
  <si>
    <t>HORARIO:</t>
  </si>
  <si>
    <t>SUELDO:                   $</t>
  </si>
  <si>
    <t>maryuri julieth</t>
  </si>
  <si>
    <t>10/02/2024</t>
  </si>
  <si>
    <t>AV 3 7N 74 Z INDUSTRIAL</t>
  </si>
  <si>
    <t>SACHICA BOYACA</t>
  </si>
  <si>
    <t>descripcion</t>
  </si>
  <si>
    <t>celda</t>
  </si>
  <si>
    <t>cc t</t>
  </si>
  <si>
    <t>nombre y apellido t</t>
  </si>
  <si>
    <t>telefono t</t>
  </si>
  <si>
    <t>direccion</t>
  </si>
  <si>
    <t>nombre y apellido c</t>
  </si>
  <si>
    <t>direccion c</t>
  </si>
  <si>
    <t>telefono c</t>
  </si>
  <si>
    <t>MARLON JHESID MIRANDA CONTRERAS</t>
  </si>
  <si>
    <t>6 a 6</t>
  </si>
  <si>
    <t>jorge luis</t>
  </si>
  <si>
    <t>jose maximo</t>
  </si>
  <si>
    <t>13/02/2024</t>
  </si>
  <si>
    <t>Prados norte</t>
  </si>
  <si>
    <t>sevilla</t>
  </si>
  <si>
    <t>tecnico mecanico</t>
  </si>
  <si>
    <t>ninguna</t>
  </si>
  <si>
    <t>6 A 8</t>
  </si>
  <si>
    <t>1 Y MEDIA</t>
  </si>
  <si>
    <t>muchas uuu</t>
  </si>
  <si>
    <t>capillana</t>
  </si>
  <si>
    <t>sasa</t>
  </si>
  <si>
    <t>avenida p</t>
  </si>
  <si>
    <t>todas</t>
  </si>
  <si>
    <t>fecha ing</t>
  </si>
  <si>
    <t>horario</t>
  </si>
  <si>
    <t>sueldo</t>
  </si>
  <si>
    <t>actividades</t>
  </si>
  <si>
    <t>observaciones</t>
  </si>
  <si>
    <t>fecha de salida</t>
  </si>
  <si>
    <t>personas a cargo</t>
  </si>
  <si>
    <t xml:space="preserve">mz4 ballester </t>
  </si>
  <si>
    <t>octavio serrano</t>
  </si>
  <si>
    <t>hacienda club casa f5</t>
  </si>
  <si>
    <t>interna</t>
  </si>
  <si>
    <t>3 hijos y tienen niñeras</t>
  </si>
  <si>
    <t>3103141250</t>
  </si>
  <si>
    <t>1200000</t>
  </si>
  <si>
    <t>3125856585</t>
  </si>
  <si>
    <t>indefinido</t>
  </si>
  <si>
    <t>3168310352</t>
  </si>
  <si>
    <t>3028284642</t>
  </si>
  <si>
    <t>2</t>
  </si>
  <si>
    <t>eddy contreras</t>
  </si>
  <si>
    <t>3145123448</t>
  </si>
  <si>
    <t>3107325328</t>
  </si>
  <si>
    <t>1ER NOMBRE Y 1ER APELLIDO</t>
  </si>
  <si>
    <t>guillermina olejua ACEVEDO</t>
  </si>
  <si>
    <t>ESEQUIEL EDUARDO MIRANDA CONTRERAS</t>
  </si>
  <si>
    <t>3118473871</t>
  </si>
  <si>
    <t>312546789</t>
  </si>
  <si>
    <t>45451</t>
  </si>
  <si>
    <t>5000000</t>
  </si>
  <si>
    <t>3</t>
  </si>
  <si>
    <t>CLIENTE</t>
  </si>
  <si>
    <t xml:space="preserve">DIRECCION RESIDENCIA: </t>
  </si>
  <si>
    <t>I28</t>
  </si>
  <si>
    <t>I27</t>
  </si>
  <si>
    <t>I29</t>
  </si>
  <si>
    <t>I30</t>
  </si>
  <si>
    <t>I14</t>
  </si>
  <si>
    <t>I15</t>
  </si>
  <si>
    <t>H16</t>
  </si>
  <si>
    <t>I21</t>
  </si>
  <si>
    <t>I23</t>
  </si>
  <si>
    <t>K17</t>
  </si>
  <si>
    <t>K16</t>
  </si>
  <si>
    <t>H17</t>
  </si>
  <si>
    <t>H18</t>
  </si>
  <si>
    <t>K18</t>
  </si>
  <si>
    <t>MARIA FERNADA</t>
  </si>
  <si>
    <t>CALLE 17AN NIZA</t>
  </si>
  <si>
    <t>DATOS PERSONALES DE TRABAJADORA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</si>
</sst>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\ #,##0;[Red]\-&quot;$&quot;\ #,##0"/>
    <numFmt numFmtId="44" formatCode="_-&quot;$&quot;\ * #,##0.00_-;\-&quot;$&quot;\ * #,##0.00_-;_-&quot;$&quot;\ * &quot;-&quot;??_-;_-@_-"/>
    <numFmt numFmtId="165" formatCode="&quot;$&quot;\ #,##0_);[Red]\(&quot;$&quot;\ #,##0\)"/>
    <numFmt numFmtId="166" formatCode="h:mm\ \-\ h:mm\ "/>
    <numFmt numFmtId="167" formatCode="_-&quot;$&quot;\ * #,##0_-;\-&quot;$&quot;\ * #,##0_-;_-&quot;$&quot;\ * &quot;-&quot;??_-;_-@_-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b/>
      <sz val="10"/>
      <color theme="1"/>
      <name val="Century Gothic"/>
      <family val="2"/>
    </font>
    <font>
      <sz val="9"/>
      <color theme="1"/>
      <name val="Century Gothic"/>
      <family val="2"/>
    </font>
    <font>
      <sz val="8"/>
      <color theme="1"/>
      <name val="Century Gothic"/>
      <family val="2"/>
    </font>
    <font>
      <sz val="10"/>
      <color theme="1"/>
      <name val="Century Gothic"/>
      <family val="2"/>
    </font>
    <font>
      <sz val="11"/>
      <color theme="1"/>
      <name val="Comic Sans MS"/>
      <family val="4"/>
    </font>
    <font>
      <u/>
      <sz val="8"/>
      <color theme="1"/>
      <name val="Century Gothic"/>
      <family val="2"/>
    </font>
    <font>
      <u/>
      <sz val="10"/>
      <color theme="1"/>
      <name val="Comic Sans MS"/>
      <family val="4"/>
    </font>
    <font>
      <sz val="12"/>
      <color theme="1"/>
      <name val="Century Gothic"/>
      <family val="2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9" fillId="0" borderId="5" xfId="0" applyFont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7" fillId="0" borderId="5" xfId="0" applyFont="1" applyBorder="1" applyAlignment="1">
      <alignment horizont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9" fillId="0" borderId="5" xfId="0" applyFont="1" applyBorder="1"/>
    <xf numFmtId="0" fontId="6" fillId="0" borderId="5" xfId="0" applyFont="1" applyBorder="1"/>
    <xf numFmtId="0" fontId="8" fillId="0" borderId="5" xfId="0" applyFont="1" applyBorder="1" applyAlignment="1">
      <alignment horizontal="left"/>
    </xf>
    <xf numFmtId="0" fontId="10" fillId="0" borderId="5" xfId="0" applyFont="1" applyBorder="1"/>
    <xf numFmtId="0" fontId="5" fillId="0" borderId="5" xfId="0" applyFont="1" applyBorder="1"/>
    <xf numFmtId="0" fontId="11" fillId="0" borderId="5" xfId="0" applyFont="1" applyBorder="1"/>
    <xf numFmtId="3" fontId="0" fillId="0" borderId="0" xfId="0" applyNumberFormat="1"/>
    <xf numFmtId="0" fontId="4" fillId="0" borderId="5" xfId="0" applyFont="1" applyBorder="1" applyAlignment="1">
      <alignment vertical="center"/>
    </xf>
    <xf numFmtId="0" fontId="0" fillId="2" borderId="9" xfId="0" applyFill="1" applyBorder="1"/>
    <xf numFmtId="0" fontId="0" fillId="0" borderId="9" xfId="0" applyBorder="1"/>
    <xf numFmtId="3" fontId="0" fillId="2" borderId="9" xfId="0" applyNumberFormat="1" applyFill="1" applyBorder="1"/>
    <xf numFmtId="0" fontId="0" fillId="2" borderId="0" xfId="0" applyFill="1"/>
    <xf numFmtId="16" fontId="0" fillId="0" borderId="0" xfId="0" applyNumberFormat="1"/>
    <xf numFmtId="6" fontId="0" fillId="2" borderId="0" xfId="0" applyNumberFormat="1" applyFill="1"/>
    <xf numFmtId="0" fontId="0" fillId="0" borderId="0" xfId="0" applyAlignment="1">
      <alignment horizontal="left" vertical="top"/>
    </xf>
    <xf numFmtId="0" fontId="0" fillId="2" borderId="0" xfId="0" applyFill="1" applyBorder="1"/>
    <xf numFmtId="3" fontId="0" fillId="2" borderId="0" xfId="0" applyNumberFormat="1" applyFill="1" applyBorder="1"/>
    <xf numFmtId="0" fontId="0" fillId="0" borderId="0" xfId="0" applyNumberFormat="1"/>
    <xf numFmtId="14" fontId="0" fillId="0" borderId="0" xfId="0" applyNumberFormat="1"/>
    <xf numFmtId="0" fontId="9" fillId="0" borderId="5" xfId="0" applyFont="1" applyBorder="1" applyAlignment="1"/>
    <xf numFmtId="0" fontId="0" fillId="0" borderId="0" xfId="0" applyBorder="1"/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165" fontId="5" fillId="0" borderId="0" xfId="0" applyNumberFormat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0" xfId="0" applyFont="1" applyBorder="1"/>
    <xf numFmtId="166" fontId="5" fillId="0" borderId="0" xfId="0" applyNumberFormat="1" applyFont="1" applyBorder="1" applyAlignment="1">
      <alignment horizontal="left" vertical="top"/>
    </xf>
    <xf numFmtId="0" fontId="6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6" fillId="0" borderId="0" xfId="0" applyFont="1" applyBorder="1" applyAlignment="1">
      <alignment horizontal="left" vertical="top"/>
    </xf>
    <xf numFmtId="0" fontId="6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3" fontId="12" fillId="0" borderId="0" xfId="0" applyNumberFormat="1" applyFont="1" applyBorder="1" applyAlignment="1"/>
    <xf numFmtId="3" fontId="12" fillId="0" borderId="0" xfId="0" applyNumberFormat="1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13" fillId="0" borderId="0" xfId="0" applyFont="1" applyBorder="1" applyAlignment="1">
      <alignment horizontal="left" vertical="top"/>
    </xf>
    <xf numFmtId="0" fontId="11" fillId="0" borderId="0" xfId="0" applyFont="1" applyBorder="1"/>
    <xf numFmtId="0" fontId="9" fillId="0" borderId="0" xfId="0" applyFont="1" applyBorder="1"/>
    <xf numFmtId="0" fontId="4" fillId="0" borderId="0" xfId="0" applyFont="1" applyBorder="1" applyAlignment="1">
      <alignment vertical="center"/>
    </xf>
    <xf numFmtId="166" fontId="5" fillId="0" borderId="0" xfId="0" applyNumberFormat="1" applyFont="1" applyBorder="1" applyAlignment="1"/>
    <xf numFmtId="167" fontId="5" fillId="0" borderId="0" xfId="1" applyNumberFormat="1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0" fontId="14" fillId="0" borderId="0" xfId="0" applyFont="1"/>
  </cellXfs>
  <cellStyles count="2">
    <cellStyle name="Moneda" xfId="1" builtinId="4"/>
    <cellStyle name="Normal" xfId="0" builtinId="0"/>
  </cellStyles>
  <dxfs count="2">
    <dxf>
      <numFmt numFmtId="0" formatCode="General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1493520</xdr:colOff>
      <xdr:row>2</xdr:row>
      <xdr:rowOff>167640</xdr:rowOff>
    </xdr:from>
    <xdr:to>
      <xdr:col>0</xdr:col>
      <xdr:colOff>2750820</xdr:colOff>
      <xdr:row>11</xdr:row>
      <xdr:rowOff>15240</xdr:rowOff>
    </xdr:to>
    <xdr:sp macro="[0]!abrir_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93520" y="533400"/>
          <a:ext cx="1257300" cy="94488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FORMULARIO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</xdr:row>
      <xdr:rowOff>76200</xdr:rowOff>
    </xdr:from>
    <xdr:to>
      <xdr:col>10</xdr:col>
      <xdr:colOff>373379</xdr:colOff>
      <xdr:row>9</xdr:row>
      <xdr:rowOff>38100</xdr:rowOff>
    </xdr:to>
    <xdr:sp macro="" textlink="">
      <xdr:nvSpPr>
        <xdr:cNvPr id="3" name="1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884420" y="632460"/>
          <a:ext cx="3566159" cy="1059180"/>
        </a:xfrm>
        <a:prstGeom prst="roundRect">
          <a:avLst>
            <a:gd name="adj" fmla="val 22223"/>
          </a:avLst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MX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SemiBold" panose="020B0502040204020203" pitchFamily="34" charset="0"/>
            </a:rPr>
            <a:t>NUEVO INGRESO</a:t>
          </a:r>
        </a:p>
        <a:p>
          <a:pPr algn="ctr"/>
          <a:r>
            <a:rPr lang="es-MX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SemiBold" panose="020B0502040204020203" pitchFamily="34" charset="0"/>
            </a:rPr>
            <a:t>DOMESTIC - HOUSE</a:t>
          </a:r>
          <a:endParaRPr lang="es-MX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2</xdr:col>
      <xdr:colOff>15240</xdr:colOff>
      <xdr:row>4</xdr:row>
      <xdr:rowOff>144781</xdr:rowOff>
    </xdr:from>
    <xdr:to>
      <xdr:col>3</xdr:col>
      <xdr:colOff>45720</xdr:colOff>
      <xdr:row>8</xdr:row>
      <xdr:rowOff>19075</xdr:rowOff>
    </xdr:to>
    <xdr:sp macro="[0]!abrir_formulari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00200" y="883921"/>
          <a:ext cx="1059180" cy="605814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ABRIR FORMULARIO</a:t>
          </a:r>
        </a:p>
      </xdr:txBody>
    </xdr:sp>
    <xdr:clientData/>
  </xdr:twoCellAnchor>
  <xdr:twoCellAnchor>
    <xdr:from>
      <xdr:col>2</xdr:col>
      <xdr:colOff>7620</xdr:colOff>
      <xdr:row>8</xdr:row>
      <xdr:rowOff>175261</xdr:rowOff>
    </xdr:from>
    <xdr:to>
      <xdr:col>3</xdr:col>
      <xdr:colOff>38100</xdr:colOff>
      <xdr:row>12</xdr:row>
      <xdr:rowOff>41935</xdr:rowOff>
    </xdr:to>
    <xdr:sp macro="[0]!LIMPI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B626FE7-377F-4640-A994-130113193540}"/>
            </a:ext>
          </a:extLst>
        </xdr:cNvPr>
        <xdr:cNvSpPr/>
      </xdr:nvSpPr>
      <xdr:spPr>
        <a:xfrm>
          <a:off x="1592580" y="1645921"/>
          <a:ext cx="1059180" cy="605814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BORRAR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3F2B27-8D1B-4620-AB98-D21601C57C72}" name="BaseDatos" displayName="BaseDatos" ref="B2:P7" totalsRowShown="0">
  <autoFilter ref="B2:P7" xr:uid="{ED3F2B27-8D1B-4620-AB98-D21601C57C72}"/>
  <tableColumns count="15">
    <tableColumn id="1" xr3:uid="{036068A4-6FC8-4C49-A588-E7B586EAA640}" name="Cedula trabajador" dataDxfId="1"/>
    <tableColumn id="2" xr3:uid="{833371BF-2683-4540-B1DC-535DE1D56174}" name="Nombre trabajador"/>
    <tableColumn id="4" xr3:uid="{17051F12-9B50-4B28-8B85-B7FE05C20D5B}" name="Direccion"/>
    <tableColumn id="5" xr3:uid="{FA176186-EF1D-4A87-B4DD-6FC998E6D8C1}" name="telefono"/>
    <tableColumn id="7" xr3:uid="{C62A5CCA-AE1A-4833-907B-6F202795EABE}" name="Nombre cliente"/>
    <tableColumn id="9" xr3:uid="{64225C1E-A9F4-43EC-8A57-526C1186C7AC}" name="Direccion cliente"/>
    <tableColumn id="17" xr3:uid="{55608047-E706-47D8-BFEE-F5706064DAE7}" name="Telefono cliente"/>
    <tableColumn id="10" xr3:uid="{6CA41B95-D22F-44A0-8B4D-78FAA795A378}" name="Fecha de ingreso"/>
    <tableColumn id="11" xr3:uid="{3B1B7787-009B-4164-9987-3BA6C9F4CA6E}" name="Horario"/>
    <tableColumn id="12" xr3:uid="{58302B6D-579A-42A2-8413-6FB17FA67C08}" name="Sueldo"/>
    <tableColumn id="13" xr3:uid="{C974B00C-8426-4441-840D-B1AD2BE1483B}" name="Persona a Cargo"/>
    <tableColumn id="14" xr3:uid="{C6B3CB23-EE1D-4E18-9DB0-8E1AF79B311C}" name="Actividades"/>
    <tableColumn id="15" xr3:uid="{340ACB45-D95A-4EF1-936D-F6C1CE70BB39}" name="Observaciones"/>
    <tableColumn id="16" xr3:uid="{774F4AA2-8634-43FE-9A92-8EA94B4D5BBA}" name="Fecha de salida"/>
    <tableColumn id="18" xr3:uid="{B9259C94-80CF-4A0E-BD7B-FC08F078A4DB}" name="1ER NOMBRE Y 1ER APELLIDO" dataDxfId="0">
      <calculatedColumnFormula>IFERROR(CONCATENATE(MID(BaseDatos[[#This Row],[Nombre trabajador]],1,FIND(" ",BaseDatos[[#This Row],[Nombre trabajador]])),MID(RIGHT(RIGHT(BaseDatos[[#This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trabajador]])))))),1,LEN(RIGHT(RIGHT(BaseDatos[[#This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trabajador]])))))))-SEARCH(" ",RIGHT(RIGHT(BaseDatos[[#This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trabajador]])))))))-2))," 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3BABA-EC9C-4085-8788-57F761C3E894}">
  <sheetPr codeName="Hoja4"/>
  <dimension ref="B1:P7"/>
  <sheetViews>
    <sheetView workbookViewId="0">
      <selection activeCell="B10" sqref="B10"/>
    </sheetView>
  </sheetViews>
  <sheetFormatPr baseColWidth="10" defaultRowHeight="14.4" x14ac:dyDescent="0.3"/>
  <cols>
    <col min="1" max="1" width="54.6640625" customWidth="1"/>
    <col min="2" max="2" width="12.6640625" style="18" bestFit="1" customWidth="1"/>
    <col min="3" max="3" width="19.109375" customWidth="1"/>
    <col min="6" max="6" width="15.77734375" customWidth="1"/>
    <col min="7" max="8" width="19.77734375" customWidth="1"/>
    <col min="9" max="9" width="16.88671875" customWidth="1"/>
    <col min="12" max="12" width="16.44140625" customWidth="1"/>
    <col min="13" max="13" width="12.5546875" customWidth="1"/>
    <col min="14" max="14" width="15.109375" customWidth="1"/>
    <col min="15" max="15" width="15.5546875" customWidth="1"/>
  </cols>
  <sheetData>
    <row r="1" spans="2:16" x14ac:dyDescent="0.3">
      <c r="C1" t="s">
        <v>18</v>
      </c>
      <c r="D1" t="s">
        <v>18</v>
      </c>
      <c r="E1" t="s">
        <v>18</v>
      </c>
      <c r="F1" t="s">
        <v>18</v>
      </c>
      <c r="G1" t="s">
        <v>18</v>
      </c>
      <c r="H1" t="s">
        <v>18</v>
      </c>
      <c r="I1" t="s">
        <v>18</v>
      </c>
      <c r="J1" t="s">
        <v>18</v>
      </c>
      <c r="K1" t="s">
        <v>18</v>
      </c>
      <c r="L1" t="s">
        <v>18</v>
      </c>
      <c r="M1" t="s">
        <v>18</v>
      </c>
      <c r="N1" t="s">
        <v>18</v>
      </c>
      <c r="O1" t="s">
        <v>18</v>
      </c>
    </row>
    <row r="2" spans="2:16" x14ac:dyDescent="0.3">
      <c r="B2" s="18" t="s">
        <v>11</v>
      </c>
      <c r="C2" t="s">
        <v>3</v>
      </c>
      <c r="D2" t="s">
        <v>4</v>
      </c>
      <c r="E2" t="s">
        <v>5</v>
      </c>
      <c r="F2" t="s">
        <v>6</v>
      </c>
      <c r="G2" t="s">
        <v>14</v>
      </c>
      <c r="H2" t="s">
        <v>13</v>
      </c>
      <c r="I2" t="s">
        <v>7</v>
      </c>
      <c r="J2" t="s">
        <v>8</v>
      </c>
      <c r="K2" t="s">
        <v>12</v>
      </c>
      <c r="L2" t="s">
        <v>9</v>
      </c>
      <c r="M2" t="s">
        <v>0</v>
      </c>
      <c r="N2" t="s">
        <v>1</v>
      </c>
      <c r="O2" t="s">
        <v>10</v>
      </c>
      <c r="P2" t="s">
        <v>82</v>
      </c>
    </row>
    <row r="3" spans="2:16" ht="13.8" customHeight="1" x14ac:dyDescent="0.3">
      <c r="B3" s="18">
        <v>1090464710</v>
      </c>
      <c r="C3" t="s">
        <v>44</v>
      </c>
      <c r="D3" t="s">
        <v>33</v>
      </c>
      <c r="E3" t="s">
        <v>76</v>
      </c>
      <c r="F3" s="20" t="s">
        <v>106</v>
      </c>
      <c r="G3" s="20" t="s">
        <v>107</v>
      </c>
      <c r="H3" s="20" t="s">
        <v>77</v>
      </c>
      <c r="I3" t="s">
        <v>32</v>
      </c>
      <c r="J3" t="s">
        <v>45</v>
      </c>
      <c r="K3" s="22" t="s">
        <v>73</v>
      </c>
      <c r="L3" t="s">
        <v>78</v>
      </c>
      <c r="M3" t="s">
        <v>15</v>
      </c>
      <c r="N3" t="s">
        <v>16</v>
      </c>
      <c r="O3" t="s">
        <v>17</v>
      </c>
      <c r="P3" s="29" t="str">
        <f>IFERROR(CONCATENATE(MID(BaseDatos[[#This Row],[Nombre trabajador]],1,FIND(" ",BaseDatos[[#This Row],[Nombre trabajador]])),MID(RIGHT(RIGHT(BaseDatos[[#This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trabajador]])))))),1,LEN(RIGHT(RIGHT(BaseDatos[[#This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trabajador]])))))))-SEARCH(" ",RIGHT(RIGHT(BaseDatos[[#This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trabajador]])))))))-2))," ")</f>
        <v>MARLON MIRANDA</v>
      </c>
    </row>
    <row r="4" spans="2:16" ht="13.8" customHeight="1" x14ac:dyDescent="0.3">
      <c r="B4" s="18">
        <v>1111111111</v>
      </c>
      <c r="C4" t="s">
        <v>83</v>
      </c>
      <c r="D4" t="s">
        <v>67</v>
      </c>
      <c r="E4">
        <v>55555555555</v>
      </c>
      <c r="F4" s="20" t="s">
        <v>68</v>
      </c>
      <c r="G4" s="27" t="s">
        <v>69</v>
      </c>
      <c r="H4" s="20">
        <v>8888888888888</v>
      </c>
      <c r="I4" s="30">
        <v>45568</v>
      </c>
      <c r="J4" t="s">
        <v>70</v>
      </c>
      <c r="K4" s="28">
        <v>1000000</v>
      </c>
      <c r="L4">
        <v>5</v>
      </c>
      <c r="M4" t="s">
        <v>59</v>
      </c>
      <c r="N4" t="s">
        <v>71</v>
      </c>
      <c r="P4" s="29" t="str">
        <f>IFERROR(CONCATENATE(MID(BaseDatos[[#This Row],[Nombre trabajador]],1,FIND(" ",BaseDatos[[#This Row],[Nombre trabajador]])),MID(RIGHT(RIGHT(BaseDatos[[#This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trabajador]])))))),1,LEN(RIGHT(RIGHT(BaseDatos[[#This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trabajador]])))))))-SEARCH(" ",RIGHT(RIGHT(BaseDatos[[#This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trabajador]])))))))-2))," ")</f>
        <v xml:space="preserve"> </v>
      </c>
    </row>
    <row r="5" spans="2:16" ht="13.8" customHeight="1" x14ac:dyDescent="0.3">
      <c r="B5" s="18">
        <v>88155470</v>
      </c>
      <c r="C5" t="s">
        <v>84</v>
      </c>
      <c r="D5" t="s">
        <v>56</v>
      </c>
      <c r="E5" t="s">
        <v>85</v>
      </c>
      <c r="F5" s="20" t="s">
        <v>57</v>
      </c>
      <c r="G5" s="23" t="s">
        <v>58</v>
      </c>
      <c r="H5" s="20" t="s">
        <v>86</v>
      </c>
      <c r="I5" t="s">
        <v>48</v>
      </c>
      <c r="J5" s="24" t="s">
        <v>87</v>
      </c>
      <c r="K5" s="23" t="s">
        <v>88</v>
      </c>
      <c r="L5" t="s">
        <v>89</v>
      </c>
      <c r="M5" t="s">
        <v>59</v>
      </c>
      <c r="N5" t="s">
        <v>52</v>
      </c>
      <c r="O5" t="s">
        <v>48</v>
      </c>
      <c r="P5" s="29" t="str">
        <f>IFERROR(CONCATENATE(MID(BaseDatos[[#This Row],[Nombre trabajador]],1,FIND(" ",BaseDatos[[#This Row],[Nombre trabajador]])),MID(RIGHT(RIGHT(BaseDatos[[#This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trabajador]])))))),1,LEN(RIGHT(RIGHT(BaseDatos[[#This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trabajador]])))))))-SEARCH(" ",RIGHT(RIGHT(BaseDatos[[#This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trabajador]])))))))-2))," ")</f>
        <v>ESEQUIEL MIRANDA</v>
      </c>
    </row>
    <row r="6" spans="2:16" x14ac:dyDescent="0.3">
      <c r="B6" s="18">
        <v>1090174422</v>
      </c>
      <c r="C6" t="s">
        <v>46</v>
      </c>
      <c r="D6" t="s">
        <v>49</v>
      </c>
      <c r="E6" t="s">
        <v>72</v>
      </c>
      <c r="F6" s="20" t="s">
        <v>47</v>
      </c>
      <c r="G6" t="s">
        <v>50</v>
      </c>
      <c r="H6" s="20" t="s">
        <v>74</v>
      </c>
      <c r="I6" t="s">
        <v>48</v>
      </c>
      <c r="J6" t="s">
        <v>53</v>
      </c>
      <c r="K6" s="25" t="s">
        <v>73</v>
      </c>
      <c r="L6" t="s">
        <v>54</v>
      </c>
      <c r="M6" t="s">
        <v>51</v>
      </c>
      <c r="N6" t="s">
        <v>55</v>
      </c>
      <c r="O6" t="s">
        <v>75</v>
      </c>
      <c r="P6" s="29" t="str">
        <f>IFERROR(CONCATENATE(MID(BaseDatos[[#This Row],[Nombre trabajador]],1,FIND(" ",BaseDatos[[#This Row],[Nombre trabajador]])),MID(RIGHT(RIGHT(BaseDatos[[#This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trabajador]])))))),1,LEN(RIGHT(RIGHT(BaseDatos[[#This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trabajador]])))))))-SEARCH(" ",RIGHT(RIGHT(BaseDatos[[#This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trabajador]])))))))-2))," ")</f>
        <v xml:space="preserve"> </v>
      </c>
    </row>
    <row r="7" spans="2:16" x14ac:dyDescent="0.3">
      <c r="B7" s="18">
        <v>60420596</v>
      </c>
      <c r="C7" t="s">
        <v>79</v>
      </c>
      <c r="D7" t="s">
        <v>34</v>
      </c>
      <c r="E7" t="s">
        <v>80</v>
      </c>
      <c r="F7" s="21" t="s">
        <v>31</v>
      </c>
      <c r="G7" s="21" t="s">
        <v>19</v>
      </c>
      <c r="H7" s="21" t="s">
        <v>81</v>
      </c>
      <c r="I7" t="s">
        <v>32</v>
      </c>
      <c r="J7" t="s">
        <v>18</v>
      </c>
      <c r="K7" t="s">
        <v>18</v>
      </c>
      <c r="L7" t="s">
        <v>18</v>
      </c>
      <c r="M7" t="s">
        <v>18</v>
      </c>
      <c r="N7" t="s">
        <v>18</v>
      </c>
      <c r="O7" t="s">
        <v>18</v>
      </c>
      <c r="P7" s="29" t="str">
        <f>IFERROR(CONCATENATE(MID(BaseDatos[[#This Row],[Nombre trabajador]],1,FIND(" ",BaseDatos[[#This Row],[Nombre trabajador]])),MID(RIGHT(RIGHT(BaseDatos[[#This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trabajador]])))))),1,LEN(RIGHT(RIGHT(BaseDatos[[#This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trabajador]])))))))-SEARCH(" ",RIGHT(RIGHT(BaseDatos[[#This Row],[Nombre trabajador]],LEN(BaseDatos[[#This Row],[Nombre trabajador]])-LEN(MID(BaseDatos[[#This Row],[Nombre trabajador]],1,FIND(" ",BaseDatos[[#This Row],[Nombre trabajador]])))), LEN(RIGHT(BaseDatos[[#This Row],[Nombre trabajador]],LEN(BaseDatos[[#This Row],[Nombre trabajador]])-LEN(MID(BaseDatos[[#This Row],[Nombre trabajador]],1,FIND(" ",BaseDatos[[#This Row],[Nombre trabajador]])))))-SEARCH(" ",RIGHT(BaseDatos[[#This Row],[Nombre trabajador]],LEN(BaseDatos[[#This Row],[Nombre trabajador]])-LEN(MID(BaseDatos[[#This Row],[Nombre trabajador]],1,FIND(" ",BaseDatos[[#This Row],[Nombre trabajador]])))))))-2))," ")</f>
        <v xml:space="preserve"> 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74E71-E3DA-4AE2-B307-D9869C277508}">
  <sheetPr codeName="Hoja5">
    <pageSetUpPr fitToPage="1"/>
  </sheetPr>
  <dimension ref="C1:Q35"/>
  <sheetViews>
    <sheetView tabSelected="1" zoomScaleNormal="100" workbookViewId="0">
      <selection activeCell="C14" sqref="C14"/>
    </sheetView>
  </sheetViews>
  <sheetFormatPr baseColWidth="10" defaultRowHeight="14.4" x14ac:dyDescent="0.3"/>
  <cols>
    <col min="3" max="3" width="15" customWidth="1"/>
    <col min="6" max="6" width="8.88671875" customWidth="1"/>
    <col min="7" max="7" width="6.21875" customWidth="1"/>
    <col min="8" max="8" width="10.5546875" customWidth="1"/>
    <col min="9" max="9" width="13.88671875" customWidth="1"/>
    <col min="10" max="10" width="17" customWidth="1"/>
    <col min="11" max="11" width="14" customWidth="1"/>
    <col min="12" max="12" width="7" customWidth="1"/>
    <col min="13" max="13" width="6.6640625" customWidth="1"/>
    <col min="15" max="15" width="5.77734375" customWidth="1"/>
  </cols>
  <sheetData>
    <row r="1" spans="3:17" ht="15" customHeight="1" thickBot="1" x14ac:dyDescent="0.35"/>
    <row r="2" spans="3:17" x14ac:dyDescent="0.3">
      <c r="E2" s="1"/>
      <c r="F2" s="2"/>
      <c r="G2" s="2"/>
      <c r="H2" s="2"/>
      <c r="I2" s="2"/>
      <c r="J2" s="2"/>
      <c r="K2" s="2"/>
      <c r="L2" s="2"/>
      <c r="M2" s="3"/>
    </row>
    <row r="3" spans="3:17" x14ac:dyDescent="0.3">
      <c r="E3" s="4"/>
      <c r="F3" s="32"/>
      <c r="G3" s="32"/>
      <c r="H3" s="32"/>
      <c r="I3" s="32"/>
      <c r="J3" s="32"/>
      <c r="K3" s="32"/>
      <c r="L3" s="32"/>
      <c r="M3" s="5"/>
    </row>
    <row r="4" spans="3:17" x14ac:dyDescent="0.3">
      <c r="E4" s="4"/>
      <c r="F4" s="32"/>
      <c r="G4" s="32"/>
      <c r="H4" s="32"/>
      <c r="I4" s="32"/>
      <c r="J4" s="32"/>
      <c r="K4" s="32"/>
      <c r="L4" s="32"/>
      <c r="M4" s="5"/>
    </row>
    <row r="5" spans="3:17" x14ac:dyDescent="0.3">
      <c r="E5" s="4"/>
      <c r="F5" s="32" t="str">
        <f>IFERROR(VLOOKUP($B$6,#REF!,1,0)," ")</f>
        <v xml:space="preserve"> </v>
      </c>
      <c r="G5" s="32"/>
      <c r="H5" s="32"/>
      <c r="I5" s="32"/>
      <c r="J5" s="32"/>
      <c r="K5" s="32"/>
      <c r="L5" s="32"/>
      <c r="M5" s="5"/>
    </row>
    <row r="6" spans="3:17" x14ac:dyDescent="0.3">
      <c r="E6" s="4"/>
      <c r="F6" s="32" t="str">
        <f>IFERROR(VLOOKUP($B$6,#REF!,2,0)," ")</f>
        <v xml:space="preserve"> </v>
      </c>
      <c r="G6" s="32"/>
      <c r="H6" s="32"/>
      <c r="I6" s="32"/>
      <c r="J6" s="32"/>
      <c r="K6" s="32"/>
      <c r="L6" s="32"/>
      <c r="M6" s="5"/>
    </row>
    <row r="7" spans="3:17" x14ac:dyDescent="0.3">
      <c r="E7" s="4"/>
      <c r="F7" s="32" t="str">
        <f>IFERROR(VLOOKUP($B$6,#REF!,3,0)," ")</f>
        <v xml:space="preserve"> </v>
      </c>
      <c r="G7" s="32"/>
      <c r="H7" s="32"/>
      <c r="I7" s="32"/>
      <c r="J7" s="32"/>
      <c r="K7" s="32"/>
      <c r="L7" s="32"/>
      <c r="M7" s="5"/>
    </row>
    <row r="8" spans="3:17" x14ac:dyDescent="0.3">
      <c r="E8" s="4"/>
      <c r="F8" s="32" t="str">
        <f>IFERROR(VLOOKUP($B$6,#REF!,4,0)," ")</f>
        <v xml:space="preserve"> </v>
      </c>
      <c r="G8" s="32"/>
      <c r="H8" s="32"/>
      <c r="I8" s="32"/>
      <c r="J8" s="32"/>
      <c r="K8" s="32"/>
      <c r="L8" s="32"/>
      <c r="M8" s="5"/>
    </row>
    <row r="9" spans="3:17" x14ac:dyDescent="0.3">
      <c r="C9" s="32"/>
      <c r="E9" s="4"/>
      <c r="F9" s="32" t="str">
        <f>IFERROR(VLOOKUP($B$6,#REF!,5,0)," ")</f>
        <v xml:space="preserve"> </v>
      </c>
      <c r="G9" s="32"/>
      <c r="H9" s="32"/>
      <c r="I9" s="32"/>
      <c r="J9" s="32"/>
      <c r="K9" s="32"/>
      <c r="L9" s="32"/>
      <c r="M9" s="5"/>
    </row>
    <row r="10" spans="3:17" x14ac:dyDescent="0.3">
      <c r="C10" s="32"/>
      <c r="D10" s="32"/>
      <c r="E10" s="4"/>
      <c r="F10" s="32"/>
      <c r="G10" s="32"/>
      <c r="H10" s="32"/>
      <c r="I10" s="32"/>
      <c r="J10" s="32"/>
      <c r="K10" s="32"/>
      <c r="L10" s="32"/>
      <c r="M10" s="5"/>
    </row>
    <row r="11" spans="3:17" ht="15" x14ac:dyDescent="0.3">
      <c r="C11" s="32"/>
      <c r="D11" s="32"/>
      <c r="E11" s="33" t="s">
        <v>23</v>
      </c>
      <c r="F11" s="34"/>
      <c r="G11" s="34"/>
      <c r="H11" s="34"/>
      <c r="I11" s="34"/>
      <c r="J11" s="34"/>
      <c r="K11" s="34"/>
      <c r="L11" s="32"/>
      <c r="M11" s="19"/>
    </row>
    <row r="12" spans="3:17" x14ac:dyDescent="0.3">
      <c r="C12" s="32"/>
      <c r="D12" s="32"/>
      <c r="E12" s="4"/>
      <c r="F12" s="32"/>
      <c r="G12" s="32"/>
      <c r="H12" s="32"/>
      <c r="I12" s="32"/>
      <c r="J12" s="32"/>
      <c r="K12" s="32"/>
      <c r="L12" s="32"/>
      <c r="M12" s="5"/>
    </row>
    <row r="13" spans="3:17" ht="15.6" x14ac:dyDescent="0.35">
      <c r="C13" s="32"/>
      <c r="D13" s="32"/>
      <c r="E13" s="4"/>
      <c r="F13" s="34" t="s">
        <v>90</v>
      </c>
      <c r="G13" s="34"/>
      <c r="H13" s="34"/>
      <c r="I13" s="34"/>
      <c r="J13" s="34"/>
      <c r="K13" s="34"/>
      <c r="L13" s="32"/>
      <c r="M13" s="15"/>
    </row>
    <row r="14" spans="3:17" ht="15.6" x14ac:dyDescent="0.35">
      <c r="C14" s="32"/>
      <c r="D14" s="32"/>
      <c r="E14" s="4"/>
      <c r="F14" s="34" t="s">
        <v>20</v>
      </c>
      <c r="G14" s="34"/>
      <c r="H14" s="34"/>
      <c r="I14" s="35"/>
      <c r="J14" s="35"/>
      <c r="K14" s="35"/>
      <c r="L14" s="35"/>
      <c r="M14" s="6"/>
      <c r="P14" s="60" t="s">
        <v>35</v>
      </c>
      <c r="Q14" s="60" t="s">
        <v>36</v>
      </c>
    </row>
    <row r="15" spans="3:17" x14ac:dyDescent="0.3">
      <c r="C15" s="32"/>
      <c r="D15" s="32"/>
      <c r="E15" s="4"/>
      <c r="F15" s="36" t="s">
        <v>25</v>
      </c>
      <c r="G15" s="36"/>
      <c r="H15" s="36"/>
      <c r="I15" s="37"/>
      <c r="J15" s="37"/>
      <c r="K15" s="37"/>
      <c r="L15" s="37"/>
      <c r="M15" s="17"/>
      <c r="P15" s="60" t="s">
        <v>37</v>
      </c>
      <c r="Q15" s="60" t="s">
        <v>92</v>
      </c>
    </row>
    <row r="16" spans="3:17" x14ac:dyDescent="0.3">
      <c r="C16" s="32"/>
      <c r="D16" s="32"/>
      <c r="E16" s="4"/>
      <c r="F16" s="38" t="s">
        <v>21</v>
      </c>
      <c r="G16" s="38"/>
      <c r="H16" s="39"/>
      <c r="I16" s="39"/>
      <c r="J16" s="51" t="s">
        <v>22</v>
      </c>
      <c r="K16" s="56"/>
      <c r="L16" s="32"/>
      <c r="M16" s="12"/>
      <c r="P16" s="60" t="s">
        <v>38</v>
      </c>
      <c r="Q16" s="60" t="s">
        <v>93</v>
      </c>
    </row>
    <row r="17" spans="3:17" x14ac:dyDescent="0.3">
      <c r="C17" s="32"/>
      <c r="E17" s="4"/>
      <c r="F17" s="36" t="s">
        <v>30</v>
      </c>
      <c r="G17" s="36"/>
      <c r="H17" s="57"/>
      <c r="I17" s="57"/>
      <c r="J17" s="41" t="s">
        <v>29</v>
      </c>
      <c r="K17" s="42"/>
      <c r="L17" s="42"/>
      <c r="M17" s="31"/>
      <c r="P17" s="60" t="s">
        <v>40</v>
      </c>
      <c r="Q17" s="60" t="s">
        <v>94</v>
      </c>
    </row>
    <row r="18" spans="3:17" x14ac:dyDescent="0.3">
      <c r="C18" s="32"/>
      <c r="E18" s="4"/>
      <c r="F18" s="43" t="s">
        <v>24</v>
      </c>
      <c r="G18" s="43"/>
      <c r="H18" s="44"/>
      <c r="I18" s="44"/>
      <c r="J18" s="45" t="s">
        <v>28</v>
      </c>
      <c r="K18" s="44"/>
      <c r="L18" s="44"/>
      <c r="M18" s="31"/>
      <c r="P18" s="60" t="s">
        <v>39</v>
      </c>
      <c r="Q18" s="60" t="s">
        <v>95</v>
      </c>
    </row>
    <row r="19" spans="3:17" ht="15" x14ac:dyDescent="0.3">
      <c r="C19" s="32"/>
      <c r="E19" s="4"/>
      <c r="F19" s="32"/>
      <c r="G19" s="32"/>
      <c r="H19" s="44"/>
      <c r="I19" s="44"/>
      <c r="J19" s="46"/>
      <c r="K19" s="44"/>
      <c r="L19" s="44"/>
      <c r="M19" s="19"/>
      <c r="P19" s="60" t="s">
        <v>41</v>
      </c>
      <c r="Q19" s="60" t="s">
        <v>96</v>
      </c>
    </row>
    <row r="20" spans="3:17" x14ac:dyDescent="0.3">
      <c r="E20" s="4"/>
      <c r="F20" s="32"/>
      <c r="G20" s="32"/>
      <c r="H20" s="32"/>
      <c r="I20" s="32"/>
      <c r="J20" s="32"/>
      <c r="K20" s="32"/>
      <c r="L20" s="32"/>
      <c r="M20" s="5"/>
      <c r="P20" s="60" t="s">
        <v>42</v>
      </c>
      <c r="Q20" s="60" t="s">
        <v>97</v>
      </c>
    </row>
    <row r="21" spans="3:17" x14ac:dyDescent="0.3">
      <c r="E21" s="4"/>
      <c r="F21" s="36" t="s">
        <v>26</v>
      </c>
      <c r="G21" s="36"/>
      <c r="H21" s="36"/>
      <c r="I21" s="59"/>
      <c r="J21" s="59"/>
      <c r="K21" s="59"/>
      <c r="L21" s="32"/>
      <c r="M21" s="5"/>
      <c r="P21" s="60" t="s">
        <v>43</v>
      </c>
      <c r="Q21" s="60" t="s">
        <v>98</v>
      </c>
    </row>
    <row r="22" spans="3:17" x14ac:dyDescent="0.3">
      <c r="E22" s="4"/>
      <c r="F22" s="32"/>
      <c r="G22" s="32"/>
      <c r="H22" s="32"/>
      <c r="I22" s="32"/>
      <c r="J22" s="32"/>
      <c r="K22" s="32"/>
      <c r="L22" s="32"/>
      <c r="M22" s="16"/>
      <c r="P22" s="60" t="s">
        <v>60</v>
      </c>
      <c r="Q22" s="60" t="s">
        <v>99</v>
      </c>
    </row>
    <row r="23" spans="3:17" x14ac:dyDescent="0.3">
      <c r="E23" s="4"/>
      <c r="F23" s="36" t="s">
        <v>27</v>
      </c>
      <c r="G23" s="36"/>
      <c r="H23" s="36"/>
      <c r="I23" s="59"/>
      <c r="J23" s="59"/>
      <c r="K23" s="59"/>
      <c r="L23" s="32"/>
      <c r="M23" s="7"/>
      <c r="P23" s="60" t="s">
        <v>61</v>
      </c>
      <c r="Q23" s="60" t="s">
        <v>101</v>
      </c>
    </row>
    <row r="24" spans="3:17" x14ac:dyDescent="0.3">
      <c r="E24" s="4"/>
      <c r="F24" s="32"/>
      <c r="G24" s="32"/>
      <c r="H24" s="32"/>
      <c r="I24" s="32"/>
      <c r="J24" s="32"/>
      <c r="K24" s="32"/>
      <c r="L24" s="32"/>
      <c r="M24" s="7"/>
      <c r="P24" s="60" t="s">
        <v>66</v>
      </c>
      <c r="Q24" s="60" t="s">
        <v>102</v>
      </c>
    </row>
    <row r="25" spans="3:17" ht="15" x14ac:dyDescent="0.3">
      <c r="E25" s="4"/>
      <c r="F25" s="32"/>
      <c r="G25" s="32"/>
      <c r="H25" s="32"/>
      <c r="I25" s="32"/>
      <c r="J25" s="32"/>
      <c r="K25" s="32"/>
      <c r="L25" s="55"/>
      <c r="M25" s="7"/>
      <c r="P25" s="60" t="s">
        <v>62</v>
      </c>
      <c r="Q25" s="60" t="s">
        <v>103</v>
      </c>
    </row>
    <row r="26" spans="3:17" ht="15" x14ac:dyDescent="0.3">
      <c r="E26" s="4"/>
      <c r="F26" s="34" t="s">
        <v>108</v>
      </c>
      <c r="G26" s="34"/>
      <c r="H26" s="34"/>
      <c r="I26" s="34"/>
      <c r="J26" s="34"/>
      <c r="K26" s="34"/>
      <c r="L26" s="32"/>
      <c r="M26" s="7"/>
      <c r="P26" s="60" t="s">
        <v>63</v>
      </c>
      <c r="Q26" s="60" t="s">
        <v>104</v>
      </c>
    </row>
    <row r="27" spans="3:17" ht="15" x14ac:dyDescent="0.3">
      <c r="E27" s="4"/>
      <c r="F27" s="47" t="s">
        <v>20</v>
      </c>
      <c r="G27" s="47"/>
      <c r="H27" s="47"/>
      <c r="I27" s="58"/>
      <c r="J27" s="58"/>
      <c r="K27" s="58"/>
      <c r="L27" s="58"/>
      <c r="M27" s="13"/>
      <c r="P27" s="60" t="s">
        <v>64</v>
      </c>
      <c r="Q27" s="60" t="s">
        <v>105</v>
      </c>
    </row>
    <row r="28" spans="3:17" ht="14.4" customHeight="1" x14ac:dyDescent="0.4">
      <c r="E28" s="4"/>
      <c r="F28" s="48" t="s">
        <v>2</v>
      </c>
      <c r="G28" s="32"/>
      <c r="H28" s="49"/>
      <c r="I28" s="50"/>
      <c r="J28" s="50"/>
      <c r="K28" s="50"/>
      <c r="L28" s="51"/>
      <c r="M28" s="14"/>
      <c r="P28" s="60" t="s">
        <v>65</v>
      </c>
      <c r="Q28" s="60" t="s">
        <v>100</v>
      </c>
    </row>
    <row r="29" spans="3:17" ht="15" x14ac:dyDescent="0.3">
      <c r="E29" s="4"/>
      <c r="F29" s="40" t="s">
        <v>91</v>
      </c>
      <c r="G29" s="40"/>
      <c r="H29" s="40"/>
      <c r="I29" s="52"/>
      <c r="J29" s="52"/>
      <c r="K29" s="52"/>
      <c r="L29" s="53"/>
      <c r="M29" s="8"/>
      <c r="P29" s="60"/>
      <c r="Q29" s="60"/>
    </row>
    <row r="30" spans="3:17" x14ac:dyDescent="0.3">
      <c r="E30" s="4"/>
      <c r="F30" s="40" t="s">
        <v>21</v>
      </c>
      <c r="G30" s="40"/>
      <c r="H30" s="32"/>
      <c r="I30" s="39"/>
      <c r="J30" s="39"/>
      <c r="K30" s="39"/>
      <c r="L30" s="54"/>
      <c r="M30" s="5"/>
    </row>
    <row r="31" spans="3:17" x14ac:dyDescent="0.3">
      <c r="E31" s="4"/>
      <c r="F31" s="32"/>
      <c r="G31" s="32"/>
      <c r="H31" s="32"/>
      <c r="I31" s="32"/>
      <c r="J31" s="32"/>
      <c r="K31" s="32"/>
      <c r="L31" s="32"/>
      <c r="M31" s="5"/>
    </row>
    <row r="32" spans="3:17" x14ac:dyDescent="0.3">
      <c r="E32" s="4"/>
      <c r="F32" s="32"/>
      <c r="G32" s="32"/>
      <c r="H32" s="32"/>
      <c r="I32" s="32"/>
      <c r="J32" s="32"/>
      <c r="K32" s="32"/>
      <c r="L32" s="32"/>
      <c r="M32" s="5"/>
    </row>
    <row r="33" spans="5:13" ht="15" thickBot="1" x14ac:dyDescent="0.35">
      <c r="E33" s="9"/>
      <c r="F33" s="10"/>
      <c r="G33" s="10"/>
      <c r="H33" s="10"/>
      <c r="I33" s="10"/>
      <c r="J33" s="10"/>
      <c r="K33" s="10"/>
      <c r="L33" s="10"/>
      <c r="M33" s="11"/>
    </row>
    <row r="35" spans="5:13" x14ac:dyDescent="0.3">
      <c r="J35" s="26"/>
      <c r="K35" s="26"/>
    </row>
  </sheetData>
  <mergeCells count="24">
    <mergeCell ref="F13:K13"/>
    <mergeCell ref="F26:K26"/>
    <mergeCell ref="I30:K30"/>
    <mergeCell ref="I27:L27"/>
    <mergeCell ref="F14:H14"/>
    <mergeCell ref="F15:H15"/>
    <mergeCell ref="I15:L15"/>
    <mergeCell ref="F16:G16"/>
    <mergeCell ref="H16:I16"/>
    <mergeCell ref="I21:K21"/>
    <mergeCell ref="I23:K23"/>
    <mergeCell ref="I14:L14"/>
    <mergeCell ref="I28:K28"/>
    <mergeCell ref="I29:K29"/>
    <mergeCell ref="K17:L17"/>
    <mergeCell ref="F21:H21"/>
    <mergeCell ref="H18:I19"/>
    <mergeCell ref="K18:L19"/>
    <mergeCell ref="E11:K11"/>
    <mergeCell ref="F17:G17"/>
    <mergeCell ref="H17:I17"/>
    <mergeCell ref="F18:G18"/>
    <mergeCell ref="F23:H23"/>
    <mergeCell ref="J35:K35"/>
  </mergeCells>
  <pageMargins left="0.7" right="0.7" top="0.75" bottom="0.75" header="0.3" footer="0.3"/>
  <pageSetup paperSize="122" scale="94" fitToHeight="0" orientation="portrait" r:id="rId1"/>
  <colBreaks count="2" manualBreakCount="2">
    <brk id="4" max="1048575" man="1"/>
    <brk id="13" max="3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BD</vt:lpstr>
      <vt:lpstr>PLANTILLA</vt:lpstr>
      <vt:lpstr>PLANTILLA!Área_de_impresión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Terán</dc:creator>
  <cp:lastModifiedBy>Marlon Miranda</cp:lastModifiedBy>
  <cp:lastPrinted>2024-03-10T21:35:07Z</cp:lastPrinted>
  <dcterms:created xsi:type="dcterms:W3CDTF">2021-08-19T20:33:27Z</dcterms:created>
  <dcterms:modified xsi:type="dcterms:W3CDTF">2024-03-10T21:35:41Z</dcterms:modified>
</cp:coreProperties>
</file>